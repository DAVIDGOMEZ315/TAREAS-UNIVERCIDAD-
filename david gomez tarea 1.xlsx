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s\Desktop\"/>
    </mc:Choice>
  </mc:AlternateContent>
  <bookViews>
    <workbookView xWindow="0" yWindow="0" windowWidth="24000" windowHeight="90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K13" i="1"/>
  <c r="K19" i="1"/>
  <c r="K1" i="1"/>
  <c r="E24" i="1"/>
  <c r="E19" i="1"/>
  <c r="E13" i="1" l="1"/>
  <c r="E7" i="1"/>
  <c r="E1" i="1"/>
</calcChain>
</file>

<file path=xl/sharedStrings.xml><?xml version="1.0" encoding="utf-8"?>
<sst xmlns="http://schemas.openxmlformats.org/spreadsheetml/2006/main" count="45" uniqueCount="25">
  <si>
    <t>x</t>
  </si>
  <si>
    <t>a</t>
  </si>
  <si>
    <t>b</t>
  </si>
  <si>
    <t>1)</t>
  </si>
  <si>
    <t>2)</t>
  </si>
  <si>
    <t>c</t>
  </si>
  <si>
    <t xml:space="preserve"> 3x^3+ax/c+3</t>
  </si>
  <si>
    <t xml:space="preserve"> =</t>
  </si>
  <si>
    <t xml:space="preserve"> -2x^2+ax-b</t>
  </si>
  <si>
    <t>3)</t>
  </si>
  <si>
    <t>y</t>
  </si>
  <si>
    <t>z</t>
  </si>
  <si>
    <t>3/5x^3y^2z</t>
  </si>
  <si>
    <t>4)</t>
  </si>
  <si>
    <t>x^-2-y^-1/y^-2+x^-1</t>
  </si>
  <si>
    <t>5)</t>
  </si>
  <si>
    <t>p</t>
  </si>
  <si>
    <t>q</t>
  </si>
  <si>
    <t>(2p+3/p) (1-2/q)/p3 + p/q</t>
  </si>
  <si>
    <t>=</t>
  </si>
  <si>
    <t>6)</t>
  </si>
  <si>
    <t>7)</t>
  </si>
  <si>
    <t>8)</t>
  </si>
  <si>
    <t>9)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</si>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</sst>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???/???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dobe Heiti Std R"/>
      <family val="2"/>
      <charset val="128"/>
    </font>
    <font>
      <sz val="11"/>
      <color rgb="FF9C6500"/>
      <name val="Adobe Heiti Std R"/>
      <family val="2"/>
      <charset val="128"/>
    </font>
    <font>
      <sz val="11"/>
      <color rgb="FF006100"/>
      <name val="Adobe Heiti Std R"/>
      <family val="2"/>
      <charset val="128"/>
    </font>
    <font>
      <sz val="11"/>
      <color theme="1"/>
      <name val="Adobe Heiti Std R"/>
      <family val="2"/>
      <charset val="128"/>
    </font>
    <font>
      <sz val="9"/>
      <color theme="0"/>
      <name val="Adobe Heiti Std R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9">
    <xf numFmtId="0" fontId="0" fillId="0" borderId="0" xfId="0"/>
    <xf numFmtId="12" fontId="0" fillId="0" borderId="0" xfId="0" applyNumberFormat="1"/>
    <xf numFmtId="0" fontId="2" fillId="3" borderId="0" xfId="2"/>
    <xf numFmtId="12" fontId="2" fillId="3" borderId="0" xfId="2" applyNumberFormat="1"/>
    <xf numFmtId="0" fontId="4" fillId="4" borderId="0" xfId="3" applyFont="1"/>
    <xf numFmtId="0" fontId="4" fillId="4" borderId="0" xfId="3" applyFont="1" applyAlignment="1">
      <alignment horizontal="center"/>
    </xf>
    <xf numFmtId="0" fontId="4" fillId="4" borderId="0" xfId="3" applyFont="1" applyAlignment="1">
      <alignment horizontal="center"/>
    </xf>
    <xf numFmtId="0" fontId="5" fillId="3" borderId="0" xfId="2" applyFont="1" applyAlignment="1">
      <alignment horizontal="center"/>
    </xf>
    <xf numFmtId="0" fontId="6" fillId="2" borderId="0" xfId="1" applyFont="1" applyAlignment="1">
      <alignment horizontal="center"/>
    </xf>
    <xf numFmtId="0" fontId="7" fillId="0" borderId="0" xfId="0" applyFont="1"/>
    <xf numFmtId="0" fontId="4" fillId="5" borderId="0" xfId="4" applyFont="1" applyAlignment="1">
      <alignment horizontal="center"/>
    </xf>
    <xf numFmtId="0" fontId="7" fillId="0" borderId="0" xfId="0" applyFont="1" applyAlignment="1">
      <alignment horizontal="center"/>
    </xf>
    <xf numFmtId="0" fontId="3" fillId="5" borderId="0" xfId="4" applyAlignment="1">
      <alignment horizontal="center"/>
    </xf>
    <xf numFmtId="0" fontId="1" fillId="2" borderId="0" xfId="1" applyAlignment="1">
      <alignment horizontal="center"/>
    </xf>
    <xf numFmtId="0" fontId="4" fillId="4" borderId="0" xfId="3" applyFont="1" applyBorder="1" applyAlignment="1">
      <alignment horizontal="center"/>
    </xf>
    <xf numFmtId="12" fontId="4" fillId="4" borderId="0" xfId="3" applyNumberFormat="1" applyFont="1" applyBorder="1" applyAlignment="1">
      <alignment horizontal="center"/>
    </xf>
    <xf numFmtId="0" fontId="4" fillId="5" borderId="0" xfId="4" applyFont="1" applyBorder="1" applyAlignment="1">
      <alignment horizontal="center"/>
    </xf>
    <xf numFmtId="164" fontId="4" fillId="5" borderId="0" xfId="4" applyNumberFormat="1" applyFont="1" applyBorder="1" applyAlignment="1">
      <alignment horizontal="center"/>
    </xf>
    <xf numFmtId="0" fontId="6" fillId="2" borderId="0" xfId="1" applyFont="1" applyBorder="1" applyAlignment="1">
      <alignment horizontal="center"/>
    </xf>
    <xf numFmtId="12" fontId="5" fillId="3" borderId="0" xfId="2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3" fontId="3" fillId="5" borderId="0" xfId="4" applyNumberFormat="1" applyAlignment="1">
      <alignment horizontal="center"/>
    </xf>
    <xf numFmtId="0" fontId="2" fillId="3" borderId="0" xfId="2" applyAlignment="1">
      <alignment horizontal="center"/>
    </xf>
    <xf numFmtId="12" fontId="8" fillId="4" borderId="0" xfId="3" applyNumberFormat="1" applyFont="1"/>
    <xf numFmtId="12" fontId="4" fillId="5" borderId="0" xfId="4" applyNumberFormat="1" applyFont="1"/>
    <xf numFmtId="12" fontId="4" fillId="5" borderId="0" xfId="4" applyNumberFormat="1" applyFont="1" applyAlignment="1">
      <alignment horizontal="center"/>
    </xf>
    <xf numFmtId="0" fontId="5" fillId="3" borderId="0" xfId="2" applyFont="1" applyAlignment="1">
      <alignment horizontal="center" vertical="center"/>
    </xf>
    <xf numFmtId="12" fontId="5" fillId="3" borderId="0" xfId="2" applyNumberFormat="1" applyFont="1" applyAlignment="1">
      <alignment horizontal="center" vertical="center"/>
    </xf>
    <xf numFmtId="2" fontId="4" fillId="5" borderId="0" xfId="4" applyNumberFormat="1" applyFont="1" applyAlignment="1">
      <alignment horizontal="center"/>
    </xf>
  </cellXfs>
  <cellStyles count="5">
    <cellStyle name="Bueno" xfId="1" builtinId="26"/>
    <cellStyle name="Énfasis5" xfId="3" builtinId="45"/>
    <cellStyle name="Énfasis6" xfId="4" builtinId="49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H10" sqref="H10"/>
    </sheetView>
  </sheetViews>
  <sheetFormatPr baseColWidth="10" defaultColWidth="10.7109375" defaultRowHeight="15" x14ac:dyDescent="0.25"/>
  <cols>
    <col min="11" max="11" width="12.85546875" bestFit="1" customWidth="1"/>
  </cols>
  <sheetData>
    <row r="1" spans="1:11" x14ac:dyDescent="0.25">
      <c r="A1" s="5" t="s">
        <v>3</v>
      </c>
      <c r="B1" s="6" t="s">
        <v>8</v>
      </c>
      <c r="C1" s="6"/>
      <c r="D1" s="10" t="s">
        <v>7</v>
      </c>
      <c r="E1" s="10">
        <f>-2*B2^2+B3*B2-B4</f>
        <v>-5</v>
      </c>
      <c r="G1" s="5" t="s">
        <v>20</v>
      </c>
      <c r="H1" s="6"/>
      <c r="I1" s="6"/>
      <c r="J1" s="10" t="s">
        <v>7</v>
      </c>
      <c r="K1" s="25">
        <f>(2^(H3))*(H4)*(H2)^(1/3)</f>
        <v>-0.12499999999999999</v>
      </c>
    </row>
    <row r="2" spans="1:11" x14ac:dyDescent="0.25">
      <c r="A2" s="8" t="s">
        <v>0</v>
      </c>
      <c r="B2" s="7">
        <v>-3</v>
      </c>
      <c r="D2" s="11"/>
      <c r="E2" s="11"/>
      <c r="G2" s="8" t="s">
        <v>0</v>
      </c>
      <c r="H2" s="26">
        <v>-8</v>
      </c>
      <c r="J2" s="11"/>
      <c r="K2" s="11"/>
    </row>
    <row r="3" spans="1:11" x14ac:dyDescent="0.25">
      <c r="A3" s="8" t="s">
        <v>1</v>
      </c>
      <c r="B3" s="7">
        <v>-2</v>
      </c>
      <c r="D3" s="11"/>
      <c r="E3" s="11"/>
      <c r="G3" s="8" t="s">
        <v>10</v>
      </c>
      <c r="H3" s="26">
        <v>-2</v>
      </c>
      <c r="J3" s="11"/>
      <c r="K3" s="11"/>
    </row>
    <row r="4" spans="1:11" x14ac:dyDescent="0.25">
      <c r="A4" s="8" t="s">
        <v>2</v>
      </c>
      <c r="B4" s="7">
        <v>-7</v>
      </c>
      <c r="D4" s="11"/>
      <c r="G4" s="8" t="s">
        <v>11</v>
      </c>
      <c r="H4" s="27">
        <v>0.25</v>
      </c>
      <c r="J4" s="11"/>
      <c r="K4" s="11"/>
    </row>
    <row r="7" spans="1:11" x14ac:dyDescent="0.25">
      <c r="A7" s="5" t="s">
        <v>4</v>
      </c>
      <c r="B7" s="6" t="s">
        <v>6</v>
      </c>
      <c r="C7" s="6"/>
      <c r="D7" s="10" t="s">
        <v>7</v>
      </c>
      <c r="E7" s="10">
        <f>3*B8^3+B9*B8/B10+3</f>
        <v>-7</v>
      </c>
      <c r="G7" s="5" t="s">
        <v>21</v>
      </c>
      <c r="H7" s="6"/>
      <c r="I7" s="6"/>
      <c r="J7" s="10" t="s">
        <v>7</v>
      </c>
      <c r="K7" s="25"/>
    </row>
    <row r="8" spans="1:11" x14ac:dyDescent="0.25">
      <c r="A8" s="8" t="s">
        <v>0</v>
      </c>
      <c r="B8" s="7">
        <v>-1</v>
      </c>
      <c r="D8" s="11"/>
      <c r="E8" s="11"/>
      <c r="G8" s="8" t="s">
        <v>0</v>
      </c>
      <c r="H8" s="26">
        <f>SQRT(2)</f>
        <v>1.4142135623730951</v>
      </c>
      <c r="J8" s="11"/>
      <c r="K8" s="11"/>
    </row>
    <row r="9" spans="1:11" x14ac:dyDescent="0.25">
      <c r="A9" s="8" t="s">
        <v>1</v>
      </c>
      <c r="B9" s="7">
        <v>49</v>
      </c>
      <c r="D9" s="11"/>
      <c r="E9" s="11"/>
      <c r="G9" s="8" t="s">
        <v>10</v>
      </c>
      <c r="H9" s="26">
        <f>SQRT(8)</f>
        <v>2.8284271247461903</v>
      </c>
      <c r="J9" s="11"/>
      <c r="K9" s="11"/>
    </row>
    <row r="10" spans="1:11" x14ac:dyDescent="0.25">
      <c r="A10" s="8" t="s">
        <v>5</v>
      </c>
      <c r="B10" s="7">
        <v>7</v>
      </c>
      <c r="D10" s="11"/>
      <c r="E10" s="11"/>
      <c r="G10" s="8" t="s">
        <v>11</v>
      </c>
      <c r="H10" s="27">
        <v>-1</v>
      </c>
      <c r="J10" s="11"/>
      <c r="K10" s="11"/>
    </row>
    <row r="13" spans="1:11" x14ac:dyDescent="0.25">
      <c r="A13" s="14" t="s">
        <v>9</v>
      </c>
      <c r="B13" s="15" t="s">
        <v>12</v>
      </c>
      <c r="C13" s="15"/>
      <c r="D13" s="16" t="s">
        <v>7</v>
      </c>
      <c r="E13" s="17">
        <f>3/5*B14^3*B15^2*B16</f>
        <v>7.03125E-2</v>
      </c>
      <c r="G13" s="5" t="s">
        <v>22</v>
      </c>
      <c r="H13" s="6"/>
      <c r="I13" s="6"/>
      <c r="J13" s="10" t="s">
        <v>7</v>
      </c>
      <c r="K13" s="25">
        <f>2*SQRT(9*H14) - 5*SQRT(4*H14) + 4*SQRT(H14)</f>
        <v>0</v>
      </c>
    </row>
    <row r="14" spans="1:11" x14ac:dyDescent="0.25">
      <c r="A14" s="18" t="s">
        <v>0</v>
      </c>
      <c r="B14" s="19">
        <v>0.5</v>
      </c>
      <c r="D14" s="20"/>
      <c r="E14" s="20"/>
      <c r="G14" s="8" t="s">
        <v>24</v>
      </c>
      <c r="H14" s="26">
        <v>3</v>
      </c>
      <c r="J14" s="11"/>
      <c r="K14" s="11"/>
    </row>
    <row r="15" spans="1:11" x14ac:dyDescent="0.25">
      <c r="A15" s="18" t="s">
        <v>10</v>
      </c>
      <c r="B15" s="19">
        <v>-0.75</v>
      </c>
      <c r="D15" s="20"/>
      <c r="E15" s="20"/>
      <c r="J15" s="11"/>
      <c r="K15" s="11"/>
    </row>
    <row r="16" spans="1:11" x14ac:dyDescent="0.25">
      <c r="A16" s="18" t="s">
        <v>11</v>
      </c>
      <c r="B16" s="19">
        <v>1.6666666666666667</v>
      </c>
      <c r="D16" s="20"/>
      <c r="E16" s="20"/>
      <c r="J16" s="11"/>
      <c r="K16" s="11"/>
    </row>
    <row r="17" spans="1:11" x14ac:dyDescent="0.25">
      <c r="B17" s="1"/>
    </row>
    <row r="19" spans="1:11" x14ac:dyDescent="0.25">
      <c r="A19" s="5" t="s">
        <v>13</v>
      </c>
      <c r="B19" s="6" t="s">
        <v>14</v>
      </c>
      <c r="C19" s="6"/>
      <c r="D19" s="12" t="s">
        <v>7</v>
      </c>
      <c r="E19" s="21">
        <f>((B20)^(-2) - B21^(-1))/(B21^(-2) + (B20)^(-1))</f>
        <v>0.18181818181818182</v>
      </c>
      <c r="G19" s="5" t="s">
        <v>23</v>
      </c>
      <c r="H19" s="6"/>
      <c r="I19" s="6"/>
      <c r="J19" s="10" t="s">
        <v>7</v>
      </c>
      <c r="K19" s="28">
        <f>2*SQRT(H20)*(H21*SQRT(H20*H20*H21) - H20*SQRT(H21))</f>
        <v>134.1640786499874</v>
      </c>
    </row>
    <row r="20" spans="1:11" x14ac:dyDescent="0.25">
      <c r="A20" s="8" t="s">
        <v>0</v>
      </c>
      <c r="B20" s="22">
        <v>-3</v>
      </c>
      <c r="D20" s="11"/>
      <c r="E20" s="11"/>
      <c r="G20" s="8" t="s">
        <v>1</v>
      </c>
      <c r="H20" s="26">
        <v>5</v>
      </c>
      <c r="J20" s="11"/>
      <c r="K20" s="11"/>
    </row>
    <row r="21" spans="1:11" x14ac:dyDescent="0.25">
      <c r="A21" s="8" t="s">
        <v>10</v>
      </c>
      <c r="B21" s="22">
        <v>6</v>
      </c>
      <c r="D21" s="11"/>
      <c r="E21" s="11"/>
      <c r="G21" s="8" t="s">
        <v>2</v>
      </c>
      <c r="H21" s="26">
        <v>4</v>
      </c>
      <c r="J21" s="11"/>
      <c r="K21" s="11"/>
    </row>
    <row r="22" spans="1:11" x14ac:dyDescent="0.25">
      <c r="J22" s="11"/>
      <c r="K22" s="11"/>
    </row>
    <row r="24" spans="1:11" x14ac:dyDescent="0.25">
      <c r="A24" s="4" t="s">
        <v>15</v>
      </c>
      <c r="B24" s="23" t="s">
        <v>18</v>
      </c>
      <c r="C24" s="4"/>
      <c r="D24" s="10" t="s">
        <v>19</v>
      </c>
      <c r="E24" s="24">
        <f>(((2*(B25)+3)/(B25))*(1-2/(B26)))/((-2)^3 + (B25)/(B26))</f>
        <v>0.125</v>
      </c>
    </row>
    <row r="25" spans="1:11" x14ac:dyDescent="0.25">
      <c r="A25" s="13" t="s">
        <v>16</v>
      </c>
      <c r="B25" s="2">
        <v>-2</v>
      </c>
      <c r="C25" s="9"/>
      <c r="D25" s="9"/>
      <c r="E25" s="9"/>
    </row>
    <row r="26" spans="1:11" x14ac:dyDescent="0.25">
      <c r="A26" s="13" t="s">
        <v>17</v>
      </c>
      <c r="B26" s="3">
        <v>0.5</v>
      </c>
      <c r="C26" s="9"/>
      <c r="D26" s="9"/>
      <c r="E26" s="9"/>
    </row>
  </sheetData>
  <mergeCells count="8">
    <mergeCell ref="H1:I1"/>
    <mergeCell ref="H7:I7"/>
    <mergeCell ref="H13:I13"/>
    <mergeCell ref="H19:I19"/>
    <mergeCell ref="B19:C19"/>
    <mergeCell ref="B7:C7"/>
    <mergeCell ref="B1:C1"/>
    <mergeCell ref="B13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Alumnos</cp:lastModifiedBy>
  <dcterms:created xsi:type="dcterms:W3CDTF">2025-09-22T14:10:57Z</dcterms:created>
  <dcterms:modified xsi:type="dcterms:W3CDTF">2025-09-22T17:58:17Z</dcterms:modified>
</cp:coreProperties>
</file>